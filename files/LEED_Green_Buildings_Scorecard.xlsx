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5043B09C-2693-4C4E-A8E8-EFE09A4E793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corecard" sheetId="1" r:id="rId1"/>
    <sheet name="Summary" sheetId="2" r:id="rId2"/>
    <sheet name="Scoring Method" sheetId="3" r:id="rId3"/>
    <sheet name="Certification Levels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K13" i="1"/>
</calcChain>
</file>

<file path=xl/sharedStrings.xml><?xml version="1.0" encoding="utf-8"?>
<sst xmlns="http://schemas.openxmlformats.org/spreadsheetml/2006/main" count="114" uniqueCount="66">
  <si>
    <t>Sr. No.</t>
  </si>
  <si>
    <t>Green Building</t>
  </si>
  <si>
    <t>Location</t>
  </si>
  <si>
    <t>Certification</t>
  </si>
  <si>
    <t>Sustainable Site
/10</t>
  </si>
  <si>
    <t>Energy Efficiency
/10</t>
  </si>
  <si>
    <t>Water Efficiency
/10</t>
  </si>
  <si>
    <t>Materials &amp; Resources
/10</t>
  </si>
  <si>
    <t>Indoor Environmental Quality
/10</t>
  </si>
  <si>
    <t>Innovation / Special Features
/10</t>
  </si>
  <si>
    <t>Total Score
/60</t>
  </si>
  <si>
    <t>Percentage</t>
  </si>
  <si>
    <t>CII–Sohrabji Godrej Green Business Centre</t>
  </si>
  <si>
    <t>Hyderabad</t>
  </si>
  <si>
    <t>LEED Platinum / IGBC Net Zero Platinum</t>
  </si>
  <si>
    <t>Platinum</t>
  </si>
  <si>
    <t>Suzlon One Earth</t>
  </si>
  <si>
    <t>Pune</t>
  </si>
  <si>
    <t>LEED Platinum / GRIHA 5-Star</t>
  </si>
  <si>
    <t>ITC Green Centre</t>
  </si>
  <si>
    <t>Gurugram</t>
  </si>
  <si>
    <t>LEED Platinum</t>
  </si>
  <si>
    <t>Indira Paryavaran Bhawan</t>
  </si>
  <si>
    <t>New Delhi</t>
  </si>
  <si>
    <t>LEED India Platinum / GRIHA 5-Star</t>
  </si>
  <si>
    <t>Infosys Global Education Centre</t>
  </si>
  <si>
    <t>Mysuru</t>
  </si>
  <si>
    <t>LEED Platinum-certified campus/buildings</t>
  </si>
  <si>
    <t>Rajiv Gandhi International Airport</t>
  </si>
  <si>
    <t>LEED Platinum Passenger Terminal</t>
  </si>
  <si>
    <t>Olympia Technology Park</t>
  </si>
  <si>
    <t>Chennai</t>
  </si>
  <si>
    <t>LEED Gold</t>
  </si>
  <si>
    <t>Gold</t>
  </si>
  <si>
    <t>Anna Centenary Library</t>
  </si>
  <si>
    <t>LEED NC Gold</t>
  </si>
  <si>
    <t>American Embassy School</t>
  </si>
  <si>
    <t>LEED Gold – High School Building</t>
  </si>
  <si>
    <t>One Horizon Centre</t>
  </si>
  <si>
    <t>LEED Platinum / LEED Zero Water</t>
  </si>
  <si>
    <t>Average Score</t>
  </si>
  <si>
    <t>Rank*</t>
  </si>
  <si>
    <t>Total /60</t>
  </si>
  <si>
    <t>Grade</t>
  </si>
  <si>
    <t>Excellent</t>
  </si>
  <si>
    <t>Very Good</t>
  </si>
  <si>
    <t>Scoring Method</t>
  </si>
  <si>
    <t>Each building is scored out of 60 using six environmental criteria.</t>
  </si>
  <si>
    <t>1. Sustainable Site /10 – site planning, landscaping, heat-island/stormwater measures.</t>
  </si>
  <si>
    <t>2. Energy Efficiency /10 – energy conservation, efficient HVAC/lighting, renewable energy.</t>
  </si>
  <si>
    <t>3. Water Efficiency /10 – rainwater harvesting, water reuse, efficient fixtures and landscaping.</t>
  </si>
  <si>
    <t>4. Materials &amp; Resources /10 – recycled/local/low-impact materials and construction waste management.</t>
  </si>
  <si>
    <t>5. Indoor Environmental Quality /10 – daylight, ventilation, air quality and occupant comfort.</t>
  </si>
  <si>
    <t>6. Innovation / Special Features /10 – net-zero systems, exceptional sustainability features and innovation.</t>
  </si>
  <si>
    <t>These are simplified academic/assignment scores based on documented green features and certifications. They are NOT official LEED, GRIHA or IGBC scores.</t>
  </si>
  <si>
    <t>Certification evidence was checked from available project/official sources; where a certification applies to a campus/building component, the wording reflects that scope.</t>
  </si>
  <si>
    <t>90–100%</t>
  </si>
  <si>
    <t>80–89%</t>
  </si>
  <si>
    <t>70–79%</t>
  </si>
  <si>
    <t>Silver</t>
  </si>
  <si>
    <t>60–69%</t>
  </si>
  <si>
    <t>Bronze</t>
  </si>
  <si>
    <t>Below 60%</t>
  </si>
  <si>
    <t>Certified</t>
  </si>
  <si>
    <t>Note:</t>
  </si>
  <si>
    <t>These are assignment-defined certification levels, not official LEED/IGBC/GRIHA ratings.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</si>
</sst>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top" wrapText="1"/>
    </xf>
    <xf numFmtId="0" fontId="3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1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fill>
        <patternFill patternType="solid">
          <fgColor rgb="FFE7E6E6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9EAF7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11" Type="http://schemas.openxmlformats.org/officeDocument/2006/relationships/customXml" Target="../customXml/item3.xml" /><Relationship Id="rId5" Type="http://schemas.openxmlformats.org/officeDocument/2006/relationships/theme" Target="theme/theme1.xml" /><Relationship Id="rId10" Type="http://schemas.openxmlformats.org/officeDocument/2006/relationships/customXml" Target="../customXml/item2.xml" /><Relationship Id="rId4" Type="http://schemas.openxmlformats.org/officeDocument/2006/relationships/worksheet" Target="worksheets/sheet4.xml" /><Relationship Id="rId9" Type="http://schemas.openxmlformats.org/officeDocument/2006/relationships/customXml" Target="../customXml/item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9.01171875" customWidth="1"/>
    <col min="2" max="2" width="39.953125" customWidth="1"/>
    <col min="3" max="3" width="16.0078125" customWidth="1"/>
    <col min="4" max="4" width="37.93359375" customWidth="1"/>
    <col min="5" max="5" width="16.94921875" customWidth="1"/>
    <col min="6" max="7" width="18.0234375" customWidth="1"/>
    <col min="8" max="8" width="22.05859375" customWidth="1"/>
    <col min="9" max="9" width="25.01953125" customWidth="1"/>
    <col min="10" max="10" width="25.9609375" customWidth="1"/>
    <col min="11" max="11" width="14.9296875" customWidth="1"/>
    <col min="12" max="12" width="13.98828125" customWidth="1"/>
    <col min="13" max="13" width="18.0234375" customWidth="1"/>
  </cols>
  <sheetData>
    <row r="1" spans="1:13" ht="4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3</v>
      </c>
    </row>
    <row r="2" spans="1:13" x14ac:dyDescent="0.2">
      <c r="A2" s="1">
        <v>1</v>
      </c>
      <c r="B2" s="1" t="s">
        <v>12</v>
      </c>
      <c r="C2" s="1" t="s">
        <v>13</v>
      </c>
      <c r="D2" s="1" t="s">
        <v>14</v>
      </c>
      <c r="E2" s="1">
        <v>9</v>
      </c>
      <c r="F2" s="1">
        <v>10</v>
      </c>
      <c r="G2" s="1">
        <v>9</v>
      </c>
      <c r="H2" s="1">
        <v>9</v>
      </c>
      <c r="I2" s="1">
        <v>9</v>
      </c>
      <c r="J2" s="1">
        <v>10</v>
      </c>
      <c r="K2" s="1">
        <v>56</v>
      </c>
      <c r="L2" s="1">
        <v>93.3</v>
      </c>
      <c r="M2" s="7" t="s">
        <v>15</v>
      </c>
    </row>
    <row r="3" spans="1:13" x14ac:dyDescent="0.2">
      <c r="A3" s="1">
        <v>2</v>
      </c>
      <c r="B3" s="1" t="s">
        <v>16</v>
      </c>
      <c r="C3" s="1" t="s">
        <v>17</v>
      </c>
      <c r="D3" s="1" t="s">
        <v>18</v>
      </c>
      <c r="E3" s="1">
        <v>10</v>
      </c>
      <c r="F3" s="1">
        <v>10</v>
      </c>
      <c r="G3" s="1">
        <v>10</v>
      </c>
      <c r="H3" s="1">
        <v>9</v>
      </c>
      <c r="I3" s="1">
        <v>10</v>
      </c>
      <c r="J3" s="1">
        <v>10</v>
      </c>
      <c r="K3" s="1">
        <v>59</v>
      </c>
      <c r="L3" s="1">
        <v>98.3</v>
      </c>
      <c r="M3" s="7" t="s">
        <v>15</v>
      </c>
    </row>
    <row r="4" spans="1:13" x14ac:dyDescent="0.2">
      <c r="A4" s="1">
        <v>3</v>
      </c>
      <c r="B4" s="1" t="s">
        <v>19</v>
      </c>
      <c r="C4" s="1" t="s">
        <v>20</v>
      </c>
      <c r="D4" s="1" t="s">
        <v>21</v>
      </c>
      <c r="E4" s="1">
        <v>9</v>
      </c>
      <c r="F4" s="1">
        <v>10</v>
      </c>
      <c r="G4" s="1">
        <v>10</v>
      </c>
      <c r="H4" s="1">
        <v>9</v>
      </c>
      <c r="I4" s="1">
        <v>9</v>
      </c>
      <c r="J4" s="1">
        <v>10</v>
      </c>
      <c r="K4" s="1">
        <v>57</v>
      </c>
      <c r="L4" s="1">
        <v>95</v>
      </c>
      <c r="M4" s="7" t="s">
        <v>15</v>
      </c>
    </row>
    <row r="5" spans="1:13" x14ac:dyDescent="0.2">
      <c r="A5" s="1">
        <v>4</v>
      </c>
      <c r="B5" s="1" t="s">
        <v>22</v>
      </c>
      <c r="C5" s="1" t="s">
        <v>23</v>
      </c>
      <c r="D5" s="1" t="s">
        <v>24</v>
      </c>
      <c r="E5" s="1">
        <v>10</v>
      </c>
      <c r="F5" s="1">
        <v>10</v>
      </c>
      <c r="G5" s="1">
        <v>10</v>
      </c>
      <c r="H5" s="1">
        <v>9</v>
      </c>
      <c r="I5" s="1">
        <v>10</v>
      </c>
      <c r="J5" s="1">
        <v>10</v>
      </c>
      <c r="K5" s="1">
        <v>59</v>
      </c>
      <c r="L5" s="1">
        <v>98.3</v>
      </c>
      <c r="M5" s="7" t="s">
        <v>15</v>
      </c>
    </row>
    <row r="6" spans="1:13" x14ac:dyDescent="0.2">
      <c r="A6" s="1">
        <v>5</v>
      </c>
      <c r="B6" s="1" t="s">
        <v>25</v>
      </c>
      <c r="C6" s="1" t="s">
        <v>26</v>
      </c>
      <c r="D6" s="1" t="s">
        <v>27</v>
      </c>
      <c r="E6" s="1">
        <v>9</v>
      </c>
      <c r="F6" s="1">
        <v>9</v>
      </c>
      <c r="G6" s="1">
        <v>9</v>
      </c>
      <c r="H6" s="1">
        <v>9</v>
      </c>
      <c r="I6" s="1">
        <v>10</v>
      </c>
      <c r="J6" s="1">
        <v>9</v>
      </c>
      <c r="K6" s="1">
        <v>55</v>
      </c>
      <c r="L6" s="1">
        <v>91.7</v>
      </c>
      <c r="M6" s="7" t="s">
        <v>15</v>
      </c>
    </row>
    <row r="7" spans="1:13" x14ac:dyDescent="0.2">
      <c r="A7" s="1">
        <v>6</v>
      </c>
      <c r="B7" s="1" t="s">
        <v>28</v>
      </c>
      <c r="C7" s="1" t="s">
        <v>13</v>
      </c>
      <c r="D7" s="1" t="s">
        <v>29</v>
      </c>
      <c r="E7" s="1">
        <v>9</v>
      </c>
      <c r="F7" s="1">
        <v>9</v>
      </c>
      <c r="G7" s="1">
        <v>9</v>
      </c>
      <c r="H7" s="1">
        <v>8</v>
      </c>
      <c r="I7" s="1">
        <v>9</v>
      </c>
      <c r="J7" s="1">
        <v>10</v>
      </c>
      <c r="K7" s="1">
        <v>54</v>
      </c>
      <c r="L7" s="1">
        <v>90</v>
      </c>
      <c r="M7" s="7" t="s">
        <v>15</v>
      </c>
    </row>
    <row r="8" spans="1:13" x14ac:dyDescent="0.2">
      <c r="A8" s="1">
        <v>7</v>
      </c>
      <c r="B8" s="1" t="s">
        <v>30</v>
      </c>
      <c r="C8" s="1" t="s">
        <v>31</v>
      </c>
      <c r="D8" s="1" t="s">
        <v>32</v>
      </c>
      <c r="E8" s="1">
        <v>8</v>
      </c>
      <c r="F8" s="1">
        <v>8</v>
      </c>
      <c r="G8" s="1">
        <v>8</v>
      </c>
      <c r="H8" s="1">
        <v>8</v>
      </c>
      <c r="I8" s="1">
        <v>8</v>
      </c>
      <c r="J8" s="1">
        <v>8</v>
      </c>
      <c r="K8" s="1">
        <v>48</v>
      </c>
      <c r="L8" s="1">
        <v>80</v>
      </c>
      <c r="M8" s="7" t="s">
        <v>33</v>
      </c>
    </row>
    <row r="9" spans="1:13" x14ac:dyDescent="0.2">
      <c r="A9" s="1">
        <v>8</v>
      </c>
      <c r="B9" s="1" t="s">
        <v>34</v>
      </c>
      <c r="C9" s="1" t="s">
        <v>31</v>
      </c>
      <c r="D9" s="1" t="s">
        <v>35</v>
      </c>
      <c r="E9" s="1">
        <v>8</v>
      </c>
      <c r="F9" s="1">
        <v>8</v>
      </c>
      <c r="G9" s="1">
        <v>8</v>
      </c>
      <c r="H9" s="1">
        <v>8</v>
      </c>
      <c r="I9" s="1">
        <v>9</v>
      </c>
      <c r="J9" s="1">
        <v>8</v>
      </c>
      <c r="K9" s="1">
        <v>49</v>
      </c>
      <c r="L9" s="1">
        <v>81.7</v>
      </c>
      <c r="M9" s="7" t="s">
        <v>33</v>
      </c>
    </row>
    <row r="10" spans="1:13" x14ac:dyDescent="0.2">
      <c r="A10" s="1">
        <v>9</v>
      </c>
      <c r="B10" s="1" t="s">
        <v>36</v>
      </c>
      <c r="C10" s="1" t="s">
        <v>23</v>
      </c>
      <c r="D10" s="1" t="s">
        <v>37</v>
      </c>
      <c r="E10" s="1">
        <v>8</v>
      </c>
      <c r="F10" s="1">
        <v>8</v>
      </c>
      <c r="G10" s="1">
        <v>8</v>
      </c>
      <c r="H10" s="1">
        <v>8</v>
      </c>
      <c r="I10" s="1">
        <v>9</v>
      </c>
      <c r="J10" s="1">
        <v>8</v>
      </c>
      <c r="K10" s="1">
        <v>49</v>
      </c>
      <c r="L10" s="1">
        <v>81.7</v>
      </c>
      <c r="M10" s="7" t="s">
        <v>33</v>
      </c>
    </row>
    <row r="11" spans="1:13" x14ac:dyDescent="0.2">
      <c r="A11" s="1">
        <v>10</v>
      </c>
      <c r="B11" s="1" t="s">
        <v>38</v>
      </c>
      <c r="C11" s="1" t="s">
        <v>20</v>
      </c>
      <c r="D11" s="1" t="s">
        <v>39</v>
      </c>
      <c r="E11" s="1">
        <v>9</v>
      </c>
      <c r="F11" s="1">
        <v>9</v>
      </c>
      <c r="G11" s="1">
        <v>10</v>
      </c>
      <c r="H11" s="1">
        <v>9</v>
      </c>
      <c r="I11" s="1">
        <v>9</v>
      </c>
      <c r="J11" s="1">
        <v>10</v>
      </c>
      <c r="K11" s="1">
        <v>56</v>
      </c>
      <c r="L11" s="1">
        <v>93.3</v>
      </c>
      <c r="M11" s="7" t="s">
        <v>15</v>
      </c>
    </row>
    <row r="12" spans="1:13" x14ac:dyDescent="0.2">
      <c r="M12" s="8"/>
    </row>
    <row r="13" spans="1:13" x14ac:dyDescent="0.2">
      <c r="B13" s="2" t="s">
        <v>40</v>
      </c>
      <c r="K13" s="2">
        <f>AVERAGE(K2:K11)</f>
        <v>54.2</v>
      </c>
      <c r="L13" s="2">
        <f>AVERAGE(L2:L11)</f>
        <v>90.330000000000013</v>
      </c>
      <c r="M13" s="8"/>
    </row>
  </sheetData>
  <conditionalFormatting sqref="M2:M13">
    <cfRule type="cellIs" dxfId="4" priority="1" operator="equal">
      <formula>"Platinum"</formula>
    </cfRule>
    <cfRule type="cellIs" dxfId="3" priority="2" operator="equal">
      <formula>"Gold"</formula>
    </cfRule>
    <cfRule type="cellIs" dxfId="2" priority="3" operator="equal">
      <formula>"Silver"</formula>
    </cfRule>
    <cfRule type="cellIs" dxfId="1" priority="4" operator="equal">
      <formula>"Bronze"</formula>
    </cfRule>
    <cfRule type="cellIs" dxfId="0" priority="5" operator="equal">
      <formula>"Certified"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9.953125" customWidth="1"/>
    <col min="2" max="2" width="39.953125" customWidth="1"/>
    <col min="3" max="3" width="16.0078125" customWidth="1"/>
    <col min="4" max="5" width="13.98828125" customWidth="1"/>
    <col min="6" max="6" width="16.0078125" customWidth="1"/>
  </cols>
  <sheetData>
    <row r="1" spans="1:6" x14ac:dyDescent="0.2">
      <c r="A1" s="3" t="s">
        <v>41</v>
      </c>
      <c r="B1" s="3" t="s">
        <v>1</v>
      </c>
      <c r="C1" s="3" t="s">
        <v>2</v>
      </c>
      <c r="D1" s="3" t="s">
        <v>42</v>
      </c>
      <c r="E1" s="3" t="s">
        <v>11</v>
      </c>
      <c r="F1" s="3" t="s">
        <v>43</v>
      </c>
    </row>
    <row r="2" spans="1:6" x14ac:dyDescent="0.2">
      <c r="A2" s="1">
        <v>1</v>
      </c>
      <c r="B2" s="1" t="s">
        <v>16</v>
      </c>
      <c r="C2" s="1" t="s">
        <v>17</v>
      </c>
      <c r="D2" s="1">
        <v>59</v>
      </c>
      <c r="E2" s="1">
        <v>98.3</v>
      </c>
      <c r="F2" s="1" t="s">
        <v>44</v>
      </c>
    </row>
    <row r="3" spans="1:6" x14ac:dyDescent="0.2">
      <c r="A3" s="1">
        <v>2</v>
      </c>
      <c r="B3" s="1" t="s">
        <v>22</v>
      </c>
      <c r="C3" s="1" t="s">
        <v>23</v>
      </c>
      <c r="D3" s="1">
        <v>59</v>
      </c>
      <c r="E3" s="1">
        <v>98.3</v>
      </c>
      <c r="F3" s="1" t="s">
        <v>44</v>
      </c>
    </row>
    <row r="4" spans="1:6" x14ac:dyDescent="0.2">
      <c r="A4" s="1">
        <v>3</v>
      </c>
      <c r="B4" s="1" t="s">
        <v>19</v>
      </c>
      <c r="C4" s="1" t="s">
        <v>20</v>
      </c>
      <c r="D4" s="1">
        <v>57</v>
      </c>
      <c r="E4" s="1">
        <v>95</v>
      </c>
      <c r="F4" s="1" t="s">
        <v>44</v>
      </c>
    </row>
    <row r="5" spans="1:6" x14ac:dyDescent="0.2">
      <c r="A5" s="1">
        <v>4</v>
      </c>
      <c r="B5" s="1" t="s">
        <v>12</v>
      </c>
      <c r="C5" s="1" t="s">
        <v>13</v>
      </c>
      <c r="D5" s="1">
        <v>56</v>
      </c>
      <c r="E5" s="1">
        <v>93.3</v>
      </c>
      <c r="F5" s="1" t="s">
        <v>44</v>
      </c>
    </row>
    <row r="6" spans="1:6" x14ac:dyDescent="0.2">
      <c r="A6" s="1">
        <v>5</v>
      </c>
      <c r="B6" s="1" t="s">
        <v>38</v>
      </c>
      <c r="C6" s="1" t="s">
        <v>20</v>
      </c>
      <c r="D6" s="1">
        <v>56</v>
      </c>
      <c r="E6" s="1">
        <v>93.3</v>
      </c>
      <c r="F6" s="1" t="s">
        <v>44</v>
      </c>
    </row>
    <row r="7" spans="1:6" x14ac:dyDescent="0.2">
      <c r="A7" s="1">
        <v>6</v>
      </c>
      <c r="B7" s="1" t="s">
        <v>25</v>
      </c>
      <c r="C7" s="1" t="s">
        <v>26</v>
      </c>
      <c r="D7" s="1">
        <v>55</v>
      </c>
      <c r="E7" s="1">
        <v>91.7</v>
      </c>
      <c r="F7" s="1" t="s">
        <v>44</v>
      </c>
    </row>
    <row r="8" spans="1:6" x14ac:dyDescent="0.2">
      <c r="A8" s="1">
        <v>7</v>
      </c>
      <c r="B8" s="1" t="s">
        <v>28</v>
      </c>
      <c r="C8" s="1" t="s">
        <v>13</v>
      </c>
      <c r="D8" s="1">
        <v>54</v>
      </c>
      <c r="E8" s="1">
        <v>90</v>
      </c>
      <c r="F8" s="1" t="s">
        <v>44</v>
      </c>
    </row>
    <row r="9" spans="1:6" x14ac:dyDescent="0.2">
      <c r="A9" s="1">
        <v>8</v>
      </c>
      <c r="B9" s="1" t="s">
        <v>34</v>
      </c>
      <c r="C9" s="1" t="s">
        <v>31</v>
      </c>
      <c r="D9" s="1">
        <v>49</v>
      </c>
      <c r="E9" s="1">
        <v>81.7</v>
      </c>
      <c r="F9" s="1" t="s">
        <v>45</v>
      </c>
    </row>
    <row r="10" spans="1:6" x14ac:dyDescent="0.2">
      <c r="A10" s="1">
        <v>9</v>
      </c>
      <c r="B10" s="1" t="s">
        <v>36</v>
      </c>
      <c r="C10" s="1" t="s">
        <v>23</v>
      </c>
      <c r="D10" s="1">
        <v>49</v>
      </c>
      <c r="E10" s="1">
        <v>81.7</v>
      </c>
      <c r="F10" s="1" t="s">
        <v>45</v>
      </c>
    </row>
    <row r="11" spans="1:6" x14ac:dyDescent="0.2">
      <c r="A11" s="1">
        <v>10</v>
      </c>
      <c r="B11" s="1" t="s">
        <v>30</v>
      </c>
      <c r="C11" s="1" t="s">
        <v>31</v>
      </c>
      <c r="D11" s="1">
        <v>48</v>
      </c>
      <c r="E11" s="1">
        <v>80</v>
      </c>
      <c r="F11" s="1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defaultRowHeight="15" x14ac:dyDescent="0.2"/>
  <cols>
    <col min="1" max="1" width="119.9921875" customWidth="1"/>
  </cols>
  <sheetData>
    <row r="1" spans="1:1" ht="18.75" x14ac:dyDescent="0.25">
      <c r="A1" s="4" t="s">
        <v>46</v>
      </c>
    </row>
    <row r="3" spans="1:1" x14ac:dyDescent="0.2">
      <c r="A3" s="5" t="s">
        <v>47</v>
      </c>
    </row>
    <row r="4" spans="1:1" x14ac:dyDescent="0.2">
      <c r="A4" s="5" t="s">
        <v>48</v>
      </c>
    </row>
    <row r="5" spans="1:1" x14ac:dyDescent="0.2">
      <c r="A5" s="5" t="s">
        <v>49</v>
      </c>
    </row>
    <row r="6" spans="1:1" x14ac:dyDescent="0.2">
      <c r="A6" s="5" t="s">
        <v>50</v>
      </c>
    </row>
    <row r="7" spans="1:1" x14ac:dyDescent="0.2">
      <c r="A7" s="5" t="s">
        <v>51</v>
      </c>
    </row>
    <row r="8" spans="1:1" x14ac:dyDescent="0.2">
      <c r="A8" s="5" t="s">
        <v>52</v>
      </c>
    </row>
    <row r="9" spans="1:1" x14ac:dyDescent="0.2">
      <c r="A9" s="5" t="s">
        <v>53</v>
      </c>
    </row>
    <row r="10" spans="1:1" ht="27.75" x14ac:dyDescent="0.2">
      <c r="A10" s="5" t="s">
        <v>54</v>
      </c>
    </row>
    <row r="11" spans="1:1" ht="27.75" x14ac:dyDescent="0.2">
      <c r="A11" s="5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5" x14ac:dyDescent="0.2"/>
  <cols>
    <col min="1" max="1" width="18.0234375" customWidth="1"/>
    <col min="2" max="2" width="55.01953125" customWidth="1"/>
  </cols>
  <sheetData>
    <row r="1" spans="1:2" x14ac:dyDescent="0.2">
      <c r="A1" s="9" t="s">
        <v>11</v>
      </c>
      <c r="B1" s="9" t="s">
        <v>3</v>
      </c>
    </row>
    <row r="2" spans="1:2" x14ac:dyDescent="0.2">
      <c r="A2" t="s">
        <v>56</v>
      </c>
      <c r="B2" s="8" t="s">
        <v>15</v>
      </c>
    </row>
    <row r="3" spans="1:2" x14ac:dyDescent="0.2">
      <c r="A3" t="s">
        <v>57</v>
      </c>
      <c r="B3" s="8" t="s">
        <v>33</v>
      </c>
    </row>
    <row r="4" spans="1:2" x14ac:dyDescent="0.2">
      <c r="A4" t="s">
        <v>58</v>
      </c>
      <c r="B4" s="8" t="s">
        <v>59</v>
      </c>
    </row>
    <row r="5" spans="1:2" x14ac:dyDescent="0.2">
      <c r="A5" t="s">
        <v>60</v>
      </c>
      <c r="B5" s="8" t="s">
        <v>61</v>
      </c>
    </row>
    <row r="6" spans="1:2" x14ac:dyDescent="0.2">
      <c r="A6" t="s">
        <v>62</v>
      </c>
      <c r="B6" s="8" t="s">
        <v>63</v>
      </c>
    </row>
    <row r="8" spans="1:2" ht="27.75" x14ac:dyDescent="0.2">
      <c r="A8" s="2" t="s">
        <v>64</v>
      </c>
      <c r="B8" s="10" t="s">
        <v>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A232B3FA31C48ADAF29702DE3C893" ma:contentTypeVersion="12" ma:contentTypeDescription="Create a new document." ma:contentTypeScope="" ma:versionID="9733aeacb51a31fd2347aff2540d3a50">
  <xsd:schema xmlns:xsd="http://www.w3.org/2001/XMLSchema" xmlns:xs="http://www.w3.org/2001/XMLSchema" xmlns:p="http://schemas.microsoft.com/office/2006/metadata/properties" xmlns:ns2="dd5b6b3d-3d39-4526-b8e4-79d21e1438f0" xmlns:ns3="44678d20-5b6e-4792-b133-ca784477d689" targetNamespace="http://schemas.microsoft.com/office/2006/metadata/properties" ma:root="true" ma:fieldsID="37926f2f1ae8b3f68e3dbd3dffff8aa9" ns2:_="" ns3:_="">
    <xsd:import namespace="dd5b6b3d-3d39-4526-b8e4-79d21e1438f0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b6b3d-3d39-4526-b8e4-79d21e1438f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e8ad495-3829-482e-ad1b-cf0f2662c940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b6b3d-3d39-4526-b8e4-79d21e1438f0">
      <Terms xmlns="http://schemas.microsoft.com/office/infopath/2007/PartnerControls"/>
    </lcf76f155ced4ddcb4097134ff3c332f>
    <TaxCatchAll xmlns="44678d20-5b6e-4792-b133-ca784477d689" xsi:nil="true"/>
    <ReferenceId xmlns="dd5b6b3d-3d39-4526-b8e4-79d21e1438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88D6A4-8EC4-47A5-AB99-F10F41A98DD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d5b6b3d-3d39-4526-b8e4-79d21e1438f0"/>
    <ds:schemaRef ds:uri="44678d20-5b6e-4792-b133-ca784477d689"/>
  </ds:schemaRefs>
</ds:datastoreItem>
</file>

<file path=customXml/itemProps2.xml><?xml version="1.0" encoding="utf-8"?>
<ds:datastoreItem xmlns:ds="http://schemas.openxmlformats.org/officeDocument/2006/customXml" ds:itemID="{CEC86809-CD14-4939-B67E-824AA1DAEC1C}">
  <ds:schemaRefs>
    <ds:schemaRef ds:uri="http://schemas.microsoft.com/office/2006/metadata/properties"/>
    <ds:schemaRef ds:uri="http://www.w3.org/2000/xmlns/"/>
    <ds:schemaRef ds:uri="dd5b6b3d-3d39-4526-b8e4-79d21e1438f0"/>
    <ds:schemaRef ds:uri="http://schemas.microsoft.com/office/infopath/2007/PartnerControls"/>
    <ds:schemaRef ds:uri="44678d20-5b6e-4792-b133-ca784477d689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63BD042D-A8C5-42D2-8622-CAC819F35B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Scorecard</vt:lpstr>
      <vt:lpstr>Summary</vt:lpstr>
      <vt:lpstr>Scoring Method</vt:lpstr>
      <vt:lpstr>Certification 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2026-09-22T06:36:23Z</dcterms:created>
  <dcterms:modified xsi:type="dcterms:W3CDTF">2026-09-22T06:43:19Z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0x010100B17A232B3FA31C48ADAF29702DE3C893</vt:lpwstr>
  </property>
</Properties>
</file>