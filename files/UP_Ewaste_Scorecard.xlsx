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card" sheetId="1" state="visible" r:id="rId3"/>
    <sheet name="Data Sources &amp; 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<sst xmlns="http://schemas.openxmlformats.org/spreadsheetml/2006/main" count="46" uniqueCount="46">
  <si>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State E-Waste Management Scorecard — Uttar Pradesh</t>
  </si>
  <si>
    <t xml:space="preserve">Live score out of 100, calculated from 7 weighted categories. Figures are drawn from CPCB / official sources where available; estimated figures are clearly marked and documented in the 'Data Sources &amp; Notes' sheet.</t>
  </si>
  <si>
    <t xml:space="preserve">STATE SCORE</t>
  </si>
  <si>
    <t xml:space="preserve">#</t>
  </si>
  <si>
    <t xml:space="preserve">Category</t>
  </si>
  <si>
    <t xml:space="preserve">Weight</t>
  </si>
  <si>
    <t xml:space="preserve">Benchmark /
Target</t>
  </si>
  <si>
    <t xml:space="preserve">Achieved
Value</t>
  </si>
  <si>
    <t xml:space="preserve">Achievement %</t>
  </si>
  <si>
    <t xml:space="preserve">Score
Earned</t>
  </si>
  <si>
    <t xml:space="preserve">Basis / Data Source</t>
  </si>
  <si>
    <t xml:space="preserve">Generation &amp; Inventory</t>
  </si>
  <si>
    <t xml:space="preserve">Benchmark = comprehensive e-waste inventory across all 75 UP districts. Achieved = 0: no published district-level e-waste inventory for Uttar Pradesh could be found; as of the last national review only 5 states (Punjab, J&amp;K, HP, Goa, MP) had completed state inventories (Union Environment Ministry, 2016), and UP was not among them.</t>
  </si>
  <si>
    <t xml:space="preserve">Collection Performance</t>
  </si>
  <si>
    <t xml:space="preserve">Benchmark = 100% of generated e-waste collected. Achieved is an estimate: UP is one of only 4 states (with Haryana, Telangana, Uttarakhand) that cumulatively collected/processed &gt;4 lakh tonnes of e-waste FY2016-17 to FY2023-24 (CPCB data via Dataful, 2025), vs. the FY2024-25 national average collection rate of ~70.7%. No UP-specific official collection-rate % is separately published by CPCB.</t>
  </si>
  <si>
    <t xml:space="preserve">Formal Recycling &amp; Treatment</t>
  </si>
  <si>
    <t xml:space="preserve">Benchmark = 100% of generated e-waste treated via authorised recyclers. UP has India's largest installed e-waste recycling capacity (624,219 MTA, CPCB data via ScienceDirect/Statista, June 2023) and the most registered recycling units of any state (82, Business Standard, Dec 2024). Achieved value is an estimate reflecting that a large share of UP's e-waste (notably around Moradabad) still bypasses formal recyclers despite this capacity — no official formal-treatment share specific to UP is published.</t>
  </si>
  <si>
    <t xml:space="preserve">Regulatory Compliance</t>
  </si>
  <si>
    <t xml:space="preserve">Benchmark = 100% compliance (EPR Form III returns, authorisations under E-Waste Management Rules, 2022). Achieved is an estimate informed by UP's large base of registered recyclers/dismantlers (highest in India, 82 units) as an infrastructure proxy; CPCB does not publish a single UP-specific compliance percentage.</t>
  </si>
  <si>
    <t xml:space="preserve">Informal Sector Integration</t>
  </si>
  <si>
    <t xml:space="preserve">Benchmark = 100% of e-waste workers/flows integrated into the authorised system. Moradabad (UP) is documented as one of India's largest informal e-waste hubs alongside Seelampur (Delhi) and Bhiwandi (Maharashtra), with manual dismantling, acid-leaching, open burning of cables and reported child labour (CPCB/NGT filings; UPSC environment briefs, 2025-26). Achieved value is a low estimate reflecting this persistent informal dominance.</t>
  </si>
  <si>
    <t xml:space="preserve">Environmental &amp; Health Safeguards</t>
  </si>
  <si>
    <t xml:space="preserve">Benchmark = 100% environmentally sound management (ESM) compliance. Estimate reflects a mixed picture: formal recyclers follow CPCB ESM protocols, but informal clusters (Moradabad) are linked to heavy-metal soil/water contamination; an active NGT case (OA 1363/2024, Ashish Singh Chandel vs. State of UP) concerns improper disposal of PV panel/e-waste in Kanpur Nagar district.</t>
  </si>
  <si>
    <t xml:space="preserve">Awareness &amp; Outreach</t>
  </si>
  <si>
    <t xml:space="preserve">Benchmark = 20-point outreach/awareness index (target). No dedicated public awareness index for UP e-waste was located; estimate reflects the well-documented national pattern that most consumers still sell end-of-life electronics to informal cash-paying scrap dealers rather than authorised collection points, indicating an outreach and awareness gap (Anantam IAS/CPCB commentary, 2026).</t>
  </si>
  <si>
    <t xml:space="preserve">TOTAL SCORE</t>
  </si>
  <si>
    <t xml:space="preserve">Score Bands:</t>
  </si>
  <si>
    <t xml:space="preserve">85 - 100</t>
  </si>
  <si>
    <t xml:space="preserve">Excellent</t>
  </si>
  <si>
    <t xml:space="preserve">65 - 84</t>
  </si>
  <si>
    <t xml:space="preserve">Good</t>
  </si>
  <si>
    <t xml:space="preserve">45 - 64</t>
  </si>
  <si>
    <t xml:space="preserve">Needs Improvement</t>
  </si>
  <si>
    <t xml:space="preserve">0 - 44</t>
  </si>
  <si>
    <t xml:space="preserve">Critical</t>
  </si>
  <si>
    <t xml:space="preserve">Data Sources &amp; Methodology Notes</t>
  </si>
  <si>
    <t xml:space="preserve">This scorecard adapts a standard 7-category e-waste management scoring framework to Uttar Pradesh. Wherever an official, publicly reported figure specific to Uttar Pradesh exists, it is used and cited below. Where no state-specific official figure is published (common for CPCB e-waste data, which is mostly reported at the national level), a reasoned estimate is used and clearly labelled as such in the 'Basis / Data Source' column of the Scorecard sheet. Treat estimated cells as directional, not audited figures — replace them with official State Pollution Control Board (UPPCB) data if you have access to it.</t>
  </si>
  <si>
    <t xml:space="preserve">1. Statista / CPCB — "India: recycling capacity of e-waste by state, 2023": Uttar Pradesh had the largest installed e-waste recycling capacity in India at 624.2 thousand metric tonnes/year as of June 2023. (statista.com/statistics/1425573)</t>
  </si>
  <si>
    <t xml:space="preserve">2. Kumar et al., ScienceDirect (2023) — "E-waste generation and management scenario of India": confirms UP's 624,219.47 MTA recycling capacity as the highest among Indian states/UTs, based on CPCB data. (sciencedirect.com/science/article/pii/S294975072300024X)</t>
  </si>
  <si>
    <t xml:space="preserve">3. Business Standard (Dec 8, 2024) — "Total recycling units in India reach 295, highest in UP": Uttar Pradesh has 82 registered e-waste recycling units, the most of any state, ahead of Karnataka (45) and Maharashtra (43).</t>
  </si>
  <si>
    <t xml:space="preserve">4. Dataful / CPCB (Aug 2025) — "India's E-Waste Generation Doubles in 8 Years": national e-waste generation rose from 7.08 lakh tonnes (2017-18) to 13.98 lakh tonnes (2024-25); formal collection/processing share rose from ~10% to ~70.71%. Uttar Pradesh, Haryana, Telangana and Uttarakhand are named as the states that cumulatively collected/processed more than 4 lakh tonnes of e-waste between 2016-17 and 2023-24.</t>
  </si>
  <si>
    <t xml:space="preserve">5. PIB / Rajya Sabha (2024-25) — CPCB e-waste generation estimates: FY2023-24 = 12,54,286.55 tonnes; FY2024-25 = 13,97,955.59 tonnes (national figures; no official UP-specific breakdown located).</t>
  </si>
  <si>
    <t xml:space="preserve">6. Tribune India (2016, Union Environment Minister statement) — Uttar Pradesh listed among India's 10 largest e-waste generating states (with Maharashtra, Tamil Nadu, Andhra Pradesh, West Bengal, Delhi, Karnataka, Gujarat, Madhya Pradesh, Punjab); only 5 states (Punjab, J&amp;K, Himachal Pradesh, Goa, Madhya Pradesh) had completed formal e-waste inventories at that time — Uttar Pradesh was not among them.</t>
  </si>
  <si>
    <t xml:space="preserve">7. UPSC/Anantam IAS environment briefs (2025-26) and NGT filings — Moradabad (Uttar Pradesh) identified alongside Seelampur (Delhi) and Bhiwandi (Maharashtra) as one of India's largest informal e-waste recycling hubs, involving manual dismantling, acid-leaching for gold recovery, open cable burning and reported child labour, resulting in significant under-formalisation and environmental leakage.</t>
  </si>
  <si>
    <t xml:space="preserve">8. National Green Tribunal — OA No. 1363 of 2024, Ashish Singh Chandel vs. State of Uttar Pradesh: an ongoing case concerning improper disposal/recycling of photovoltaic (solar) panels in Sapai village, Kanpur Nagar district, Uttar Pradesh, escalated to CPCB as a respondent (Dec 2024 order).</t>
  </si>
  <si>
    <t xml:space="preserve">9. E-Waste (Management) Rules, 2022 and amendments (2023, 2024) — the current national regulatory framework (EPR targets, Form III annual returns, EPR-certificate trading) against which Uttar Pradesh's registered producers, recyclers and dismantlers are formally assessed.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</si>
</sst>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%"/>
    <numFmt numFmtId="167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26"/>
      <color rgb="FFC55A11"/>
      <name val="Arial"/>
      <family val="0"/>
      <charset val="1"/>
    </font>
    <font>
      <b val="true"/>
      <sz val="16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8.5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i val="true"/>
      <sz val="1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sz val="10"/>
      <color rgb="FF2E7D32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sz val="10"/>
      <color rgb="FFE65100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sz val="10"/>
      <color rgb="FFC6282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4B183"/>
        <bgColor rgb="FFFF99CC"/>
      </patternFill>
    </fill>
    <fill>
      <patternFill patternType="solid">
        <fgColor rgb="FFDCE6F1"/>
        <bgColor rgb="FFD9D9D9"/>
      </patternFill>
    </fill>
    <fill>
      <patternFill patternType="solid">
        <fgColor rgb="FFFFFF99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D9D9D9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55A11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E65100"/>
      <rgbColor rgb="FF595959"/>
      <rgbColor rgb="FF969696"/>
      <rgbColor rgb="FF003366"/>
      <rgbColor rgb="FF2E7D32"/>
      <rgbColor rgb="FF003300"/>
      <rgbColor rgb="FF333300"/>
      <rgbColor rgb="FFC62828"/>
      <rgbColor rgb="FF993366"/>
      <rgbColor rgb="FF1F4E79"/>
      <rgbColor rgb="FF404040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4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27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5" customFormat="false" ht="18" hidden="false" customHeight="true" outlineLevel="0" collapsed="false">
      <c r="A5" s="3" t="s">
        <v>2</v>
      </c>
      <c r="B5" s="3"/>
      <c r="C5" s="3"/>
      <c r="D5" s="4" t="n">
        <f aca="false">G17</f>
        <v>46.8</v>
      </c>
      <c r="E5" s="4"/>
      <c r="F5" s="5" t="str">
        <f aca="false">_xlfn.IFS(G17&gt;=85,"EXCELLENT",G17&gt;=65,"GOOD",G17&gt;=45,"NEEDS IMPROVEMENT",TRUE(),"CRITICAL")</f>
        <v>NEEDS IMPROVEMENT</v>
      </c>
      <c r="G5" s="5"/>
      <c r="H5" s="5"/>
    </row>
    <row r="6" customFormat="false" ht="18" hidden="false" customHeight="true" outlineLevel="0" collapsed="false">
      <c r="A6" s="3"/>
      <c r="B6" s="3"/>
      <c r="C6" s="3"/>
      <c r="D6" s="4"/>
      <c r="E6" s="4"/>
      <c r="F6" s="5"/>
      <c r="G6" s="5"/>
      <c r="H6" s="5"/>
    </row>
    <row r="7" customFormat="false" ht="18" hidden="false" customHeight="true" outlineLevel="0" collapsed="false">
      <c r="A7" s="3"/>
      <c r="B7" s="3"/>
      <c r="C7" s="3"/>
      <c r="D7" s="4"/>
      <c r="E7" s="4"/>
      <c r="F7" s="5"/>
      <c r="G7" s="5"/>
      <c r="H7" s="5"/>
    </row>
    <row r="9" customFormat="false" ht="30" hidden="false" customHeight="true" outlineLevel="0" collapsed="false">
      <c r="A9" s="6" t="s">
        <v>3</v>
      </c>
      <c r="B9" s="6" t="s">
        <v>4</v>
      </c>
      <c r="C9" s="6" t="s">
        <v>5</v>
      </c>
      <c r="D9" s="6" t="s">
        <v>6</v>
      </c>
      <c r="E9" s="6" t="s">
        <v>7</v>
      </c>
      <c r="F9" s="6" t="s">
        <v>8</v>
      </c>
      <c r="G9" s="6" t="s">
        <v>9</v>
      </c>
      <c r="H9" s="6" t="s">
        <v>10</v>
      </c>
    </row>
    <row r="10" customFormat="false" ht="61.5" hidden="false" customHeight="true" outlineLevel="0" collapsed="false">
      <c r="A10" s="7" t="n">
        <v>1</v>
      </c>
      <c r="B10" s="8" t="s">
        <v>11</v>
      </c>
      <c r="C10" s="7" t="n">
        <v>15</v>
      </c>
      <c r="D10" s="9" t="n">
        <v>75</v>
      </c>
      <c r="E10" s="7" t="n">
        <v>0</v>
      </c>
      <c r="F10" s="10" t="n">
        <f aca="false">IFERROR(MIN(E10/D10,1),0)</f>
        <v>0</v>
      </c>
      <c r="G10" s="11" t="n">
        <f aca="false">C10*F10</f>
        <v>0</v>
      </c>
      <c r="H10" s="12" t="s">
        <v>12</v>
      </c>
    </row>
    <row r="11" customFormat="false" ht="61.5" hidden="false" customHeight="true" outlineLevel="0" collapsed="false">
      <c r="A11" s="13" t="n">
        <v>2</v>
      </c>
      <c r="B11" s="14" t="s">
        <v>13</v>
      </c>
      <c r="C11" s="13" t="n">
        <v>20</v>
      </c>
      <c r="D11" s="9" t="n">
        <v>100</v>
      </c>
      <c r="E11" s="13" t="n">
        <v>74</v>
      </c>
      <c r="F11" s="15" t="n">
        <f aca="false">IFERROR(MIN(E11/D11,1),0)</f>
        <v>0.74</v>
      </c>
      <c r="G11" s="16" t="n">
        <f aca="false">C11*F11</f>
        <v>14.8</v>
      </c>
      <c r="H11" s="17" t="s">
        <v>14</v>
      </c>
    </row>
    <row r="12" customFormat="false" ht="61.5" hidden="false" customHeight="true" outlineLevel="0" collapsed="false">
      <c r="A12" s="7" t="n">
        <v>3</v>
      </c>
      <c r="B12" s="8" t="s">
        <v>15</v>
      </c>
      <c r="C12" s="7" t="n">
        <v>20</v>
      </c>
      <c r="D12" s="9" t="n">
        <v>100</v>
      </c>
      <c r="E12" s="7" t="n">
        <v>55</v>
      </c>
      <c r="F12" s="10" t="n">
        <f aca="false">IFERROR(MIN(E12/D12,1),0)</f>
        <v>0.55</v>
      </c>
      <c r="G12" s="11" t="n">
        <f aca="false">C12*F12</f>
        <v>11</v>
      </c>
      <c r="H12" s="12" t="s">
        <v>16</v>
      </c>
    </row>
    <row r="13" customFormat="false" ht="61.5" hidden="false" customHeight="true" outlineLevel="0" collapsed="false">
      <c r="A13" s="13" t="n">
        <v>4</v>
      </c>
      <c r="B13" s="14" t="s">
        <v>17</v>
      </c>
      <c r="C13" s="13" t="n">
        <v>15</v>
      </c>
      <c r="D13" s="9" t="n">
        <v>100</v>
      </c>
      <c r="E13" s="13" t="n">
        <v>78</v>
      </c>
      <c r="F13" s="15" t="n">
        <f aca="false">IFERROR(MIN(E13/D13,1),0)</f>
        <v>0.78</v>
      </c>
      <c r="G13" s="16" t="n">
        <f aca="false">C13*F13</f>
        <v>11.7</v>
      </c>
      <c r="H13" s="17" t="s">
        <v>18</v>
      </c>
    </row>
    <row r="14" customFormat="false" ht="61.5" hidden="false" customHeight="true" outlineLevel="0" collapsed="false">
      <c r="A14" s="7" t="n">
        <v>5</v>
      </c>
      <c r="B14" s="8" t="s">
        <v>19</v>
      </c>
      <c r="C14" s="7" t="n">
        <v>10</v>
      </c>
      <c r="D14" s="9" t="n">
        <v>100</v>
      </c>
      <c r="E14" s="7" t="n">
        <v>15</v>
      </c>
      <c r="F14" s="10" t="n">
        <f aca="false">IFERROR(MIN(E14/D14,1),0)</f>
        <v>0.15</v>
      </c>
      <c r="G14" s="11" t="n">
        <f aca="false">C14*F14</f>
        <v>1.5</v>
      </c>
      <c r="H14" s="12" t="s">
        <v>20</v>
      </c>
    </row>
    <row r="15" customFormat="false" ht="61.5" hidden="false" customHeight="true" outlineLevel="0" collapsed="false">
      <c r="A15" s="13" t="n">
        <v>6</v>
      </c>
      <c r="B15" s="14" t="s">
        <v>21</v>
      </c>
      <c r="C15" s="13" t="n">
        <v>10</v>
      </c>
      <c r="D15" s="9" t="n">
        <v>100</v>
      </c>
      <c r="E15" s="13" t="n">
        <v>48</v>
      </c>
      <c r="F15" s="15" t="n">
        <f aca="false">IFERROR(MIN(E15/D15,1),0)</f>
        <v>0.48</v>
      </c>
      <c r="G15" s="16" t="n">
        <f aca="false">C15*F15</f>
        <v>4.8</v>
      </c>
      <c r="H15" s="17" t="s">
        <v>22</v>
      </c>
    </row>
    <row r="16" customFormat="false" ht="61.5" hidden="false" customHeight="true" outlineLevel="0" collapsed="false">
      <c r="A16" s="7" t="n">
        <v>7</v>
      </c>
      <c r="B16" s="8" t="s">
        <v>23</v>
      </c>
      <c r="C16" s="7" t="n">
        <v>10</v>
      </c>
      <c r="D16" s="9" t="n">
        <v>20</v>
      </c>
      <c r="E16" s="7" t="n">
        <v>6</v>
      </c>
      <c r="F16" s="10" t="n">
        <f aca="false">IFERROR(MIN(E16/D16,1),0)</f>
        <v>0.3</v>
      </c>
      <c r="G16" s="11" t="n">
        <f aca="false">C16*F16</f>
        <v>3</v>
      </c>
      <c r="H16" s="12" t="s">
        <v>24</v>
      </c>
    </row>
    <row r="17" customFormat="false" ht="15" hidden="false" customHeight="false" outlineLevel="0" collapsed="false">
      <c r="A17" s="18"/>
      <c r="B17" s="19" t="s">
        <v>25</v>
      </c>
      <c r="C17" s="20" t="n">
        <f aca="false">SUM(C10:C16)</f>
        <v>100</v>
      </c>
      <c r="D17" s="18"/>
      <c r="E17" s="18"/>
      <c r="F17" s="18"/>
      <c r="G17" s="21" t="n">
        <f aca="false">SUM(G10:G16)</f>
        <v>46.8</v>
      </c>
      <c r="H17" s="18"/>
    </row>
    <row r="19" customFormat="false" ht="15" hidden="false" customHeight="false" outlineLevel="0" collapsed="false">
      <c r="A19" s="22" t="s">
        <v>26</v>
      </c>
    </row>
    <row r="20" customFormat="false" ht="15" hidden="false" customHeight="false" outlineLevel="0" collapsed="false">
      <c r="A20" s="23" t="s">
        <v>27</v>
      </c>
      <c r="B20" s="24" t="s">
        <v>28</v>
      </c>
      <c r="C20" s="24"/>
    </row>
    <row r="21" customFormat="false" ht="15" hidden="false" customHeight="false" outlineLevel="0" collapsed="false">
      <c r="A21" s="23" t="s">
        <v>29</v>
      </c>
      <c r="B21" s="24" t="s">
        <v>30</v>
      </c>
      <c r="C21" s="24"/>
    </row>
    <row r="22" customFormat="false" ht="15" hidden="false" customHeight="false" outlineLevel="0" collapsed="false">
      <c r="A22" s="25" t="s">
        <v>31</v>
      </c>
      <c r="B22" s="26" t="s">
        <v>32</v>
      </c>
      <c r="C22" s="26"/>
    </row>
    <row r="23" customFormat="false" ht="15" hidden="false" customHeight="false" outlineLevel="0" collapsed="false">
      <c r="A23" s="27" t="s">
        <v>33</v>
      </c>
      <c r="B23" s="28" t="s">
        <v>34</v>
      </c>
      <c r="C23" s="28"/>
    </row>
  </sheetData>
  <mergeCells count="9">
    <mergeCell ref="A1:H1"/>
    <mergeCell ref="A3:H3"/>
    <mergeCell ref="A5:C7"/>
    <mergeCell ref="D5:E7"/>
    <mergeCell ref="F5:H7"/>
    <mergeCell ref="B20:C20"/>
    <mergeCell ref="B21:C21"/>
    <mergeCell ref="B22:C22"/>
    <mergeCell ref="B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21.75" hidden="false" customHeight="true" outlineLevel="0" collapsed="false">
      <c r="A1" s="29" t="s">
        <v>35</v>
      </c>
      <c r="B1" s="29"/>
    </row>
    <row r="3" customFormat="false" ht="69.75" hidden="false" customHeight="true" outlineLevel="0" collapsed="false">
      <c r="A3" s="30" t="s">
        <v>36</v>
      </c>
      <c r="B3" s="30"/>
    </row>
    <row r="5" customFormat="false" ht="45.75" hidden="false" customHeight="true" outlineLevel="0" collapsed="false">
      <c r="A5" s="31" t="s">
        <v>37</v>
      </c>
      <c r="B5" s="31"/>
    </row>
    <row r="7" customFormat="false" ht="45.75" hidden="false" customHeight="true" outlineLevel="0" collapsed="false">
      <c r="A7" s="31" t="s">
        <v>38</v>
      </c>
      <c r="B7" s="31"/>
    </row>
    <row r="9" customFormat="false" ht="45.75" hidden="false" customHeight="true" outlineLevel="0" collapsed="false">
      <c r="A9" s="31" t="s">
        <v>39</v>
      </c>
      <c r="B9" s="31"/>
    </row>
    <row r="11" customFormat="false" ht="45.75" hidden="false" customHeight="true" outlineLevel="0" collapsed="false">
      <c r="A11" s="31" t="s">
        <v>40</v>
      </c>
      <c r="B11" s="31"/>
    </row>
    <row r="13" customFormat="false" ht="45.75" hidden="false" customHeight="true" outlineLevel="0" collapsed="false">
      <c r="A13" s="31" t="s">
        <v>41</v>
      </c>
      <c r="B13" s="31"/>
    </row>
    <row r="15" customFormat="false" ht="45.75" hidden="false" customHeight="true" outlineLevel="0" collapsed="false">
      <c r="A15" s="31" t="s">
        <v>42</v>
      </c>
      <c r="B15" s="31"/>
    </row>
    <row r="17" customFormat="false" ht="45.75" hidden="false" customHeight="true" outlineLevel="0" collapsed="false">
      <c r="A17" s="31" t="s">
        <v>43</v>
      </c>
      <c r="B17" s="31"/>
    </row>
    <row r="19" customFormat="false" ht="45.75" hidden="false" customHeight="true" outlineLevel="0" collapsed="false">
      <c r="A19" s="31" t="s">
        <v>44</v>
      </c>
      <c r="B19" s="31"/>
    </row>
    <row r="21" customFormat="false" ht="45.75" hidden="false" customHeight="true" outlineLevel="0" collapsed="false">
      <c r="A21" s="31" t="s">
        <v>45</v>
      </c>
      <c r="B21" s="31"/>
    </row>
  </sheetData>
  <mergeCells count="11">
    <mergeCell ref="A1:B1"/>
    <mergeCell ref="A3:B3"/>
    <mergeCell ref="A5:B5"/>
    <mergeCell ref="A7:B7"/>
    <mergeCell ref="A9:B9"/>
    <mergeCell ref="A11:B11"/>
    <mergeCell ref="A13:B13"/>
    <mergeCell ref="A15:B15"/>
    <mergeCell ref="A17:B17"/>
    <mergeCell ref="A19:B19"/>
    <mergeCell ref="A21:B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A232B3FA31C48ADAF29702DE3C893" ma:contentTypeVersion="12" ma:contentTypeDescription="Create a new document." ma:contentTypeScope="" ma:versionID="9733aeacb51a31fd2347aff2540d3a50">
  <xsd:schema xmlns:xsd="http://www.w3.org/2001/XMLSchema" xmlns:xs="http://www.w3.org/2001/XMLSchema" xmlns:p="http://schemas.microsoft.com/office/2006/metadata/properties" xmlns:ns2="dd5b6b3d-3d39-4526-b8e4-79d21e1438f0" xmlns:ns3="44678d20-5b6e-4792-b133-ca784477d689" targetNamespace="http://schemas.microsoft.com/office/2006/metadata/properties" ma:root="true" ma:fieldsID="37926f2f1ae8b3f68e3dbd3dffff8aa9" ns2:_="" ns3:_="">
    <xsd:import namespace="dd5b6b3d-3d39-4526-b8e4-79d21e1438f0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b6b3d-3d39-4526-b8e4-79d21e1438f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e8ad495-3829-482e-ad1b-cf0f2662c940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5b6b3d-3d39-4526-b8e4-79d21e1438f0">
      <Terms xmlns="http://schemas.microsoft.com/office/infopath/2007/PartnerControls"/>
    </lcf76f155ced4ddcb4097134ff3c332f>
    <TaxCatchAll xmlns="44678d20-5b6e-4792-b133-ca784477d689" xsi:nil="true"/>
    <ReferenceId xmlns="dd5b6b3d-3d39-4526-b8e4-79d21e1438f0" xsi:nil="true"/>
  </documentManagement>
</p:properties>
</file>

<file path=customXml/itemProps1.xml><?xml version="1.0" encoding="utf-8"?>
<ds:datastoreItem xmlns:ds="http://schemas.openxmlformats.org/officeDocument/2006/customXml" ds:itemID="{A3EABCF4-DFF0-4274-8D67-7544F770066B}"/>
</file>

<file path=customXml/itemProps2.xml><?xml version="1.0" encoding="utf-8"?>
<ds:datastoreItem xmlns:ds="http://schemas.openxmlformats.org/officeDocument/2006/customXml" ds:itemID="{F0DBB724-109B-41BC-BD0E-4DC5F65A8807}"/>
</file>

<file path=customXml/itemProps3.xml><?xml version="1.0" encoding="utf-8"?>
<ds:datastoreItem xmlns:ds="http://schemas.openxmlformats.org/officeDocument/2006/customXml" ds:itemID="{456AAFCF-0576-4508-883E-51B9FFE2134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2026-07-29T15:58:32Z</dcterms:created>
  <dcterms:modified xsi:type="dcterms:W3CDTF">2026-07-29T15:58:32Z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0x010100B17A232B3FA31C48ADAF29702DE3C893</vt:lpwstr>
  </property>
</Properties>
</file>